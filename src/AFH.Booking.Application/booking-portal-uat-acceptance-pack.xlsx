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0eebb11e904c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AT Test Cases" sheetId="1" r:id="R96281fe7310444a9"/>
    <x:sheet xmlns:r="http://schemas.openxmlformats.org/officeDocument/2006/relationships" name="Execution Tracker" sheetId="2" r:id="Rbb5692803220435b"/>
    <x:sheet xmlns:r="http://schemas.openxmlformats.org/officeDocument/2006/relationships" name="Dashboard" sheetId="3" r:id="R4d1ac257df9d4070"/>
    <x:sheet xmlns:r="http://schemas.openxmlformats.org/officeDocument/2006/relationships" name="Lists" sheetId="4" r:id="R97aefd7831c544ce"/>
    <x:sheet xmlns:r="http://schemas.openxmlformats.org/officeDocument/2006/relationships" name="Instructions" sheetId="5" r:id="R47735818d8094e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E3A8A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color rgb="166534"/>
      </x:font>
      <x:fill>
        <x:patternFill patternType="solid">
          <x:bgColor rgb="DCFCE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1E40AF"/>
      </x:font>
      <x:fill>
        <x:patternFill patternType="solid">
          <x:bgColor rgb="DBEAFE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aed8de73b14c11" /><Relationship Type="http://schemas.openxmlformats.org/officeDocument/2006/relationships/theme" Target="/xl/theme/theme1.xml" Id="R028fcc9bd2894935" /><Relationship Type="http://schemas.openxmlformats.org/officeDocument/2006/relationships/sharedStrings" Target="/xl/sharedStrings.xml" Id="R219a1e650c294780" /><Relationship Type="http://schemas.openxmlformats.org/officeDocument/2006/relationships/worksheet" Target="/xl/worksheets/sheet1.xml" Id="R96281fe7310444a9" /><Relationship Type="http://schemas.openxmlformats.org/officeDocument/2006/relationships/worksheet" Target="/xl/worksheets/sheet2.xml" Id="Rbb5692803220435b" /><Relationship Type="http://schemas.openxmlformats.org/officeDocument/2006/relationships/worksheet" Target="/xl/worksheets/sheet3.xml" Id="R4d1ac257df9d4070" /><Relationship Type="http://schemas.openxmlformats.org/officeDocument/2006/relationships/worksheet" Target="/xl/worksheets/sheet4.xml" Id="R97aefd7831c544ce" /><Relationship Type="http://schemas.openxmlformats.org/officeDocument/2006/relationships/worksheet" Target="/xl/worksheets/sheet5.xml" Id="R47735818d8094e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ccddb9a325f42b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Cases</c:v>
          </c:tx>
          <c:cat>
            <c:strRef>
              <c:f>'Dashboard'!$A$4:$A$8</c:f>
              <c:strCache>
                <c:ptCount val="0"/>
              </c:strCache>
            </c:strRef>
          </c:cat>
          <c:val>
            <c:numRef>
              <c:f>'Dashboard'!$B$4:$B$8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cddb9a325f42b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UATCasesTable" displayName="UATCasesTable" ref="A1:O31" headerRowCount="1">
  <x:tableColumns count="15">
    <x:tableColumn id="1" name="Case ID"/>
    <x:tableColumn id="2" name="Tester Name"/>
    <x:tableColumn id="3" name="Role"/>
    <x:tableColumn id="4" name="Scenario"/>
    <x:tableColumn id="5" name="Action Tested"/>
    <x:tableColumn id="6" name="Test Steps"/>
    <x:tableColumn id="7" name="Expected Result"/>
    <x:tableColumn id="8" name="Actual Result"/>
    <x:tableColumn id="9" name="Pass / Fail"/>
    <x:tableColumn id="10" name="Issue Severity"/>
    <x:tableColumn id="11" name="Issue / Comment"/>
    <x:tableColumn id="12" name="Evidence"/>
    <x:tableColumn id="13" name="Test Date"/>
    <x:tableColumn id="14" name="Booking ID"/>
    <x:tableColumn id="15" name="Environment"/>
  </x:tableColumns>
  <x:tableStyleInfo name="TableStyleMedium2" showRowStripes="1"/>
</x:table>
</file>

<file path=xl/tables/table2.xml><?xml version="1.0" encoding="utf-8"?>
<x:table xmlns:x="http://schemas.openxmlformats.org/spreadsheetml/2006/main" id="2" name="ExecutionTrackerTable" displayName="ExecutionTrackerTable" ref="A1:P31" headerRowCount="1">
  <x:tableColumns count="16">
    <x:tableColumn id="1" name="Run ID"/>
    <x:tableColumn id="2" name="Case ID"/>
    <x:tableColumn id="3" name="Tester Name"/>
    <x:tableColumn id="4" name="Role"/>
    <x:tableColumn id="5" name="Scenario"/>
    <x:tableColumn id="6" name="Action Tested"/>
    <x:tableColumn id="7" name="Test Date"/>
    <x:tableColumn id="8" name="Environment"/>
    <x:tableColumn id="9" name="Booking ID"/>
    <x:tableColumn id="10" name="Actual Result"/>
    <x:tableColumn id="11" name="Pass / Fail"/>
    <x:tableColumn id="12" name="Issue Severity"/>
    <x:tableColumn id="13" name="Issue / Comment"/>
    <x:tableColumn id="14" name="Evidence"/>
    <x:tableColumn id="15" name="Retest Required"/>
    <x:tableColumn id="16" name="Retest Resul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1be653dca243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99f378631646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21c863fc91743a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30" hidden="0" customWidth="1"/>
    <x:col min="5" max="5" width="20" hidden="0" customWidth="1"/>
    <x:col min="6" max="6" width="45" hidden="0" customWidth="1"/>
    <x:col min="7" max="7" width="45" hidden="0" customWidth="1"/>
    <x:col min="8" max="8" width="35" hidden="0" customWidth="1"/>
    <x:col min="9" max="9" width="14" hidden="0" customWidth="1"/>
    <x:col min="10" max="10" width="16" hidden="0" customWidth="1"/>
    <x:col min="11" max="11" width="35" hidden="0" customWidth="1"/>
    <x:col min="12" max="12" width="24" hidden="0" customWidth="1"/>
    <x:col min="13" max="13" width="14" hidden="0" customWidth="1"/>
    <x:col min="14" max="14" width="18" hidden="0" customWidth="1"/>
    <x:col min="15" max="15" width="16" hidden="0" customWidth="1"/>
  </x:cols>
  <x:sheetData>
    <x:row r="1">
      <x:c r="A1" s="10" t="str">
        <x:v>Case ID</x:v>
      </x:c>
      <x:c r="B1" s="10" t="str">
        <x:v>Tester Name</x:v>
      </x:c>
      <x:c r="C1" s="10" t="str">
        <x:v>Role</x:v>
      </x:c>
      <x:c r="D1" s="10" t="str">
        <x:v>Scenario</x:v>
      </x:c>
      <x:c r="E1" s="10" t="str">
        <x:v>Action Tested</x:v>
      </x:c>
      <x:c r="F1" s="10" t="str">
        <x:v>Test Steps</x:v>
      </x:c>
      <x:c r="G1" s="10" t="str">
        <x:v>Expected Result</x:v>
      </x:c>
      <x:c r="H1" s="10" t="str">
        <x:v>Actual Result</x:v>
      </x:c>
      <x:c r="I1" s="10" t="str">
        <x:v>Pass / Fail</x:v>
      </x:c>
      <x:c r="J1" s="10" t="str">
        <x:v>Issue Severity</x:v>
      </x:c>
      <x:c r="K1" s="10" t="str">
        <x:v>Issue / Comment</x:v>
      </x:c>
      <x:c r="L1" s="10" t="str">
        <x:v>Evidence</x:v>
      </x:c>
      <x:c r="M1" s="10" t="str">
        <x:v>Test Date</x:v>
      </x:c>
      <x:c r="N1" s="10" t="str">
        <x:v>Booking ID</x:v>
      </x:c>
      <x:c r="O1" s="10" t="str">
        <x:v>Environment</x:v>
      </x:c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s="2" t="str">
        <x:v>UAT-001</x:v>
      </x:c>
      <x:c r="B2" s="2" t="str"/>
      <x:c r="C2" s="2" t="str">
        <x:v>Booking Agent / Tester</x:v>
      </x:c>
      <x:c r="D2" s="2" t="str">
        <x:v>Create online booking</x:v>
      </x:c>
      <x:c r="E2" s="2" t="str">
        <x:v>Create booking</x:v>
      </x:c>
      <x:c r="F2" s="2" t="str">
        <x:v>Search availability for a remote/online meeting, select a slot, create hold, confirm booking</x:v>
      </x:c>
      <x:c r="G2" s="2" t="str">
        <x:v>Online booking is confirmed, adviser assigned, calendar event created, secure links generated</x:v>
      </x:c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 t="str">
        <x:v>UAT-002</x:v>
      </x:c>
      <x:c r="B3" s="2" t="str"/>
      <x:c r="C3" s="2" t="str">
        <x:v>Booking Agent / Tester</x:v>
      </x:c>
      <x:c r="D3" s="2" t="str">
        <x:v>Create face-to-face booking</x:v>
      </x:c>
      <x:c r="E3" s="2" t="str">
        <x:v>Create booking</x:v>
      </x:c>
      <x:c r="F3" s="2" t="str">
        <x:v>Search availability for an in-person meeting, select a slot, create hold, confirm booking</x:v>
      </x:c>
      <x:c r="G3" s="2" t="str">
        <x:v>Face-to-face booking is confirmed, adviser assigned, location/travel rules applied, calendar event created, secure links generated</x:v>
      </x:c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 t="str">
        <x:v>UAT-003</x:v>
      </x:c>
      <x:c r="B4" s="2" t="str"/>
      <x:c r="C4" s="2" t="str">
        <x:v>Client / Tester</x:v>
      </x:c>
      <x:c r="D4" s="2" t="str">
        <x:v>View online booking</x:v>
      </x:c>
      <x:c r="E4" s="2" t="str">
        <x:v>View booking</x:v>
      </x:c>
      <x:c r="F4" s="2" t="str">
        <x:v>Open the secure view booking link for an online booking</x:v>
      </x:c>
      <x:c r="G4" s="2" t="str">
        <x:v>Booking details display correctly, meeting type shows online/remote, token is accepted</x:v>
      </x:c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 t="str">
        <x:v>UAT-004</x:v>
      </x:c>
      <x:c r="B5" s="2" t="str"/>
      <x:c r="C5" s="2" t="str">
        <x:v>Client / Tester</x:v>
      </x:c>
      <x:c r="D5" s="2" t="str">
        <x:v>View face-to-face booking</x:v>
      </x:c>
      <x:c r="E5" s="2" t="str">
        <x:v>View booking</x:v>
      </x:c>
      <x:c r="F5" s="2" t="str">
        <x:v>Open the secure view booking link for a face-to-face booking</x:v>
      </x:c>
      <x:c r="G5" s="2" t="str">
        <x:v>Booking details display correctly, location/meeting details are shown, token is accepted</x:v>
      </x:c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 t="str">
        <x:v>UAT-005</x:v>
      </x:c>
      <x:c r="B6" s="2" t="str"/>
      <x:c r="C6" s="2" t="str">
        <x:v>Client / Tester</x:v>
      </x:c>
      <x:c r="D6" s="2" t="str">
        <x:v>Cancel online booking</x:v>
      </x:c>
      <x:c r="E6" s="2" t="str">
        <x:v>Cancel booking</x:v>
      </x:c>
      <x:c r="F6" s="2" t="str">
        <x:v>Open the cancel link for an online booking and submit cancellation reason</x:v>
      </x:c>
      <x:c r="G6" s="2" t="str">
        <x:v>Booking is cancelled, calendar event is cancelled, cancellation audit is recorded, notification is triggered if enabled</x:v>
      </x:c>
      <x:c r="H6" s="2" t="str"/>
      <x:c r="I6" s="2" t="str"/>
      <x:c r="J6" s="2" t="str"/>
      <x:c r="K6" s="2" t="str"/>
      <x:c r="L6" s="2" t="str"/>
      <x:c r="M6" s="2" t="str"/>
      <x:c r="N6" s="2" t="str"/>
      <x:c r="O6" s="2" t="str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 t="str">
        <x:v>UAT-006</x:v>
      </x:c>
      <x:c r="B7" s="2" t="str"/>
      <x:c r="C7" s="2" t="str">
        <x:v>Client / Tester</x:v>
      </x:c>
      <x:c r="D7" s="2" t="str">
        <x:v>Cancel face-to-face booking</x:v>
      </x:c>
      <x:c r="E7" s="2" t="str">
        <x:v>Cancel booking</x:v>
      </x:c>
      <x:c r="F7" s="2" t="str">
        <x:v>Open the cancel link for a face-to-face booking and submit cancellation reason</x:v>
      </x:c>
      <x:c r="G7" s="2" t="str">
        <x:v>Booking is cancelled, calendar event is cancelled, cancellation audit is recorded, notification is triggered if enabled</x:v>
      </x:c>
      <x:c r="H7" s="2" t="str"/>
      <x:c r="I7" s="2" t="str"/>
      <x:c r="J7" s="2" t="str"/>
      <x:c r="K7" s="2" t="str"/>
      <x:c r="L7" s="2" t="str"/>
      <x:c r="M7" s="2" t="str"/>
      <x:c r="N7" s="2" t="str"/>
      <x:c r="O7" s="2" t="str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 t="str">
        <x:v>UAT-007</x:v>
      </x:c>
      <x:c r="B8" s="2" t="str"/>
      <x:c r="C8" s="2" t="str">
        <x:v>Client / Tester</x:v>
      </x:c>
      <x:c r="D8" s="2" t="str">
        <x:v>Rearrange online booking</x:v>
      </x:c>
      <x:c r="E8" s="2" t="str">
        <x:v>Rearrange booking</x:v>
      </x:c>
      <x:c r="F8" s="2" t="str">
        <x:v>Open reschedule link, get online rearrangement options, select new slot, submit rearrange</x:v>
      </x:c>
      <x:c r="G8" s="2" t="str">
        <x:v>Booking is rearranged, old slot is replaced/cancelled, new calendar event exists, audit and notification are recorded</x:v>
      </x:c>
      <x:c r="H8" s="2" t="str"/>
      <x:c r="I8" s="2" t="str"/>
      <x:c r="J8" s="2" t="str"/>
      <x:c r="K8" s="2" t="str"/>
      <x:c r="L8" s="2" t="str"/>
      <x:c r="M8" s="2" t="str"/>
      <x:c r="N8" s="2" t="str"/>
      <x:c r="O8" s="2" t="str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 t="str">
        <x:v>UAT-008</x:v>
      </x:c>
      <x:c r="B9" s="2" t="str"/>
      <x:c r="C9" s="2" t="str">
        <x:v>Client / Tester</x:v>
      </x:c>
      <x:c r="D9" s="2" t="str">
        <x:v>Rearrange face-to-face booking</x:v>
      </x:c>
      <x:c r="E9" s="2" t="str">
        <x:v>Rearrange booking</x:v>
      </x:c>
      <x:c r="F9" s="2" t="str">
        <x:v>Open reschedule link, get face-to-face options, select new slot, submit rearrange</x:v>
      </x:c>
      <x:c r="G9" s="2" t="str">
        <x:v>Booking is rearranged, client/prospect lookup works, travel/location rules are applied, audit and notification are recorded</x:v>
      </x:c>
      <x:c r="H9" s="2" t="str"/>
      <x:c r="I9" s="2" t="str"/>
      <x:c r="J9" s="2" t="str"/>
      <x:c r="K9" s="2" t="str"/>
      <x:c r="L9" s="2" t="str"/>
      <x:c r="M9" s="2" t="str"/>
      <x:c r="N9" s="2" t="str"/>
      <x:c r="O9" s="2" t="str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 t="str">
        <x:v>UAT-009</x:v>
      </x:c>
      <x:c r="B10" s="2" t="str"/>
      <x:c r="C10" s="2" t="str">
        <x:v>LeadTech / Tester</x:v>
      </x:c>
      <x:c r="D10" s="2" t="str">
        <x:v>LeadTech cancel online booking</x:v>
      </x:c>
      <x:c r="E10" s="2" t="str">
        <x:v>Cancel booking</x:v>
      </x:c>
      <x:c r="F10" s="2" t="str">
        <x:v>Use LeadTech cancel endpoint for an online booking</x:v>
      </x:c>
      <x:c r="G10" s="2" t="str">
        <x:v>Booking is cancelled using shared cancellation workflow, actor/source recorded as LeadTech</x:v>
      </x:c>
      <x:c r="H10" s="2" t="str"/>
      <x:c r="I10" s="2" t="str"/>
      <x:c r="J10" s="2" t="str"/>
      <x:c r="K10" s="2" t="str"/>
      <x:c r="L10" s="2" t="str"/>
      <x:c r="M10" s="2" t="str"/>
      <x:c r="N10" s="2" t="str"/>
      <x:c r="O10" s="2" t="str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 t="str">
        <x:v>UAT-010</x:v>
      </x:c>
      <x:c r="B11" s="2" t="str"/>
      <x:c r="C11" s="2" t="str">
        <x:v>LeadTech / Tester</x:v>
      </x:c>
      <x:c r="D11" s="2" t="str">
        <x:v>LeadTech cancel face-to-face booking</x:v>
      </x:c>
      <x:c r="E11" s="2" t="str">
        <x:v>Cancel booking</x:v>
      </x:c>
      <x:c r="F11" s="2" t="str">
        <x:v>Use LeadTech cancel endpoint for a face-to-face booking</x:v>
      </x:c>
      <x:c r="G11" s="2" t="str">
        <x:v>Booking is cancelled using shared cancellation workflow, actor/source recorded as LeadTech</x:v>
      </x:c>
      <x:c r="H11" s="2" t="str"/>
      <x:c r="I11" s="2" t="str"/>
      <x:c r="J11" s="2" t="str"/>
      <x:c r="K11" s="2" t="str"/>
      <x:c r="L11" s="2" t="str"/>
      <x:c r="M11" s="2" t="str"/>
      <x:c r="N11" s="2" t="str"/>
      <x:c r="O11" s="2" t="str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 t="str">
        <x:v>UAT-011</x:v>
      </x:c>
      <x:c r="B12" s="2" t="str"/>
      <x:c r="C12" s="2" t="str">
        <x:v>LeadTech / Tester</x:v>
      </x:c>
      <x:c r="D12" s="2" t="str">
        <x:v>LeadTech rearrange online booking</x:v>
      </x:c>
      <x:c r="E12" s="2" t="str">
        <x:v>Rearrange booking</x:v>
      </x:c>
      <x:c r="F12" s="2" t="str">
        <x:v>Use LeadTech options endpoint, select slot, submit LeadTech rearrange</x:v>
      </x:c>
      <x:c r="G12" s="2" t="str">
        <x:v>Booking is rearranged using shared workflow, actor/source recorded as LeadTech</x:v>
      </x:c>
      <x:c r="H12" s="2" t="str"/>
      <x:c r="I12" s="2" t="str"/>
      <x:c r="J12" s="2" t="str"/>
      <x:c r="K12" s="2" t="str"/>
      <x:c r="L12" s="2" t="str"/>
      <x:c r="M12" s="2" t="str"/>
      <x:c r="N12" s="2" t="str"/>
      <x:c r="O12" s="2" t="str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 t="str">
        <x:v>UAT-012</x:v>
      </x:c>
      <x:c r="B13" s="2" t="str"/>
      <x:c r="C13" s="2" t="str">
        <x:v>LeadTech / Tester</x:v>
      </x:c>
      <x:c r="D13" s="2" t="str">
        <x:v>LeadTech rearrange face-to-face booking</x:v>
      </x:c>
      <x:c r="E13" s="2" t="str">
        <x:v>Rearrange booking</x:v>
      </x:c>
      <x:c r="F13" s="2" t="str">
        <x:v>Use LeadTech options endpoint for face-to-face booking, select slot, submit rearrange</x:v>
      </x:c>
      <x:c r="G13" s="2" t="str">
        <x:v>Booking is rearranged, in-person client lookup uses original transaction ref, actor/source recorded as LeadTech</x:v>
      </x:c>
      <x:c r="H13" s="2" t="str"/>
      <x:c r="I13" s="2" t="str"/>
      <x:c r="J13" s="2" t="str"/>
      <x:c r="K13" s="2" t="str"/>
      <x:c r="L13" s="2" t="str"/>
      <x:c r="M13" s="2" t="str"/>
      <x:c r="N13" s="2" t="str"/>
      <x:c r="O13" s="2" t="str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 t="str">
        <x:v>UAT-013</x:v>
      </x:c>
      <x:c r="B14" s="2" t="str"/>
      <x:c r="C14" s="2" t="str">
        <x:v>Client / Tester</x:v>
      </x:c>
      <x:c r="D14" s="2" t="str">
        <x:v>Invalid token cannot view booking</x:v>
      </x:c>
      <x:c r="E14" s="2" t="str">
        <x:v>Token/security</x:v>
      </x:c>
      <x:c r="F14" s="2" t="str">
        <x:v>Change token or use expired token on view link</x:v>
      </x:c>
      <x:c r="G14" s="2" t="str">
        <x:v>Access is denied, booking details are not exposed</x:v>
      </x:c>
      <x:c r="H14" s="2" t="str"/>
      <x:c r="I14" s="2" t="str"/>
      <x:c r="J14" s="2" t="str"/>
      <x:c r="K14" s="2" t="str"/>
      <x:c r="L14" s="2" t="str"/>
      <x:c r="M14" s="2" t="str"/>
      <x:c r="N14" s="2" t="str"/>
      <x:c r="O14" s="2" t="str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 t="str">
        <x:v>UAT-014</x:v>
      </x:c>
      <x:c r="B15" s="2" t="str"/>
      <x:c r="C15" s="2" t="str">
        <x:v>Client / Tester</x:v>
      </x:c>
      <x:c r="D15" s="2" t="str">
        <x:v>Token from one booking cannot cancel another</x:v>
      </x:c>
      <x:c r="E15" s="2" t="str">
        <x:v>Token/security</x:v>
      </x:c>
      <x:c r="F15" s="2" t="str">
        <x:v>Use token from Booking A against Booking B cancel endpoint</x:v>
      </x:c>
      <x:c r="G15" s="2" t="str">
        <x:v>Request is rejected, Booking B is not cancelled</x:v>
      </x:c>
      <x:c r="H15" s="2" t="str"/>
      <x:c r="I15" s="2" t="str"/>
      <x:c r="J15" s="2" t="str"/>
      <x:c r="K15" s="2" t="str"/>
      <x:c r="L15" s="2" t="str"/>
      <x:c r="M15" s="2" t="str"/>
      <x:c r="N15" s="2" t="str"/>
      <x:c r="O15" s="2" t="str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 t="str">
        <x:v>UAT-015</x:v>
      </x:c>
      <x:c r="B16" s="2" t="str"/>
      <x:c r="C16" s="2" t="str">
        <x:v>Client / Tester</x:v>
      </x:c>
      <x:c r="D16" s="2" t="str">
        <x:v>Token from one booking cannot rearrange another</x:v>
      </x:c>
      <x:c r="E16" s="2" t="str">
        <x:v>Token/security</x:v>
      </x:c>
      <x:c r="F16" s="2" t="str">
        <x:v>Use token from Booking A against Booking B rearrange endpoint</x:v>
      </x:c>
      <x:c r="G16" s="2" t="str">
        <x:v>Request is rejected, Booking B is not changed</x:v>
      </x:c>
      <x:c r="H16" s="2" t="str"/>
      <x:c r="I16" s="2" t="str"/>
      <x:c r="J16" s="2" t="str"/>
      <x:c r="K16" s="2" t="str"/>
      <x:c r="L16" s="2" t="str"/>
      <x:c r="M16" s="2" t="str"/>
      <x:c r="N16" s="2" t="str"/>
      <x:c r="O16" s="2" t="str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 t="str">
        <x:v>UAT-016</x:v>
      </x:c>
      <x:c r="B17" s="2" t="str"/>
      <x:c r="C17" s="2" t="str">
        <x:v>Tester</x:v>
      </x:c>
      <x:c r="D17" s="2" t="str">
        <x:v>Duplicate cancel submit</x:v>
      </x:c>
      <x:c r="E17" s="2" t="str">
        <x:v>Idempotency</x:v>
      </x:c>
      <x:c r="F17" s="2" t="str">
        <x:v>Submit cancellation twice for the same booking</x:v>
      </x:c>
      <x:c r="G17" s="2" t="str">
        <x:v>No duplicate lifecycle events, no duplicate notifications, no duplicate calendar cancellation side effects</x:v>
      </x:c>
      <x:c r="H17" s="2" t="str"/>
      <x:c r="I17" s="2" t="str"/>
      <x:c r="J17" s="2" t="str"/>
      <x:c r="K17" s="2" t="str"/>
      <x:c r="L17" s="2" t="str"/>
      <x:c r="M17" s="2" t="str"/>
      <x:c r="N17" s="2" t="str"/>
      <x:c r="O17" s="2" t="str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 t="str">
        <x:v>UAT-017</x:v>
      </x:c>
      <x:c r="B18" s="2" t="str"/>
      <x:c r="C18" s="2" t="str">
        <x:v>Tester</x:v>
      </x:c>
      <x:c r="D18" s="2" t="str">
        <x:v>Duplicate rearrange submit</x:v>
      </x:c>
      <x:c r="E18" s="2" t="str">
        <x:v>Idempotency</x:v>
      </x:c>
      <x:c r="F18" s="2" t="str">
        <x:v>Submit the same rearrangement twice with the same new slot</x:v>
      </x:c>
      <x:c r="G18" s="2" t="str">
        <x:v>No duplicate replacement booking is created, no duplicate notifications or audit records</x:v>
      </x:c>
      <x:c r="H18" s="2" t="str"/>
      <x:c r="I18" s="2" t="str"/>
      <x:c r="J18" s="2" t="str"/>
      <x:c r="K18" s="2" t="str"/>
      <x:c r="L18" s="2" t="str"/>
      <x:c r="M18" s="2" t="str"/>
      <x:c r="N18" s="2" t="str"/>
      <x:c r="O18" s="2" t="str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 t="str">
        <x:v>UAT-018</x:v>
      </x:c>
      <x:c r="B19" s="2" t="str"/>
      <x:c r="C19" s="2" t="str">
        <x:v>Tester</x:v>
      </x:c>
      <x:c r="D19" s="2" t="str">
        <x:v>Notification on booking confirmation</x:v>
      </x:c>
      <x:c r="E19" s="2" t="str">
        <x:v>Notification</x:v>
      </x:c>
      <x:c r="F19" s="2" t="str">
        <x:v>Create and confirm booking, check email/notification</x:v>
      </x:c>
      <x:c r="G19" s="2" t="str">
        <x:v>Booking confirmation notification is sent/requested and recorded safely in audit/logs</x:v>
      </x:c>
      <x:c r="H19" s="2" t="str"/>
      <x:c r="I19" s="2" t="str"/>
      <x:c r="J19" s="2" t="str"/>
      <x:c r="K19" s="2" t="str"/>
      <x:c r="L19" s="2" t="str"/>
      <x:c r="M19" s="2" t="str"/>
      <x:c r="N19" s="2" t="str"/>
      <x:c r="O19" s="2" t="str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 t="str">
        <x:v>UAT-019</x:v>
      </x:c>
      <x:c r="B20" s="2" t="str"/>
      <x:c r="C20" s="2" t="str">
        <x:v>Tester</x:v>
      </x:c>
      <x:c r="D20" s="2" t="str">
        <x:v>Notification on cancellation</x:v>
      </x:c>
      <x:c r="E20" s="2" t="str">
        <x:v>Notification</x:v>
      </x:c>
      <x:c r="F20" s="2" t="str">
        <x:v>Cancel a booking, check email/notification</x:v>
      </x:c>
      <x:c r="G20" s="2" t="str">
        <x:v>Cancellation notification is sent/requested and recorded safely in audit/logs</x:v>
      </x:c>
      <x:c r="H20" s="2" t="str"/>
      <x:c r="I20" s="2" t="str"/>
      <x:c r="J20" s="2" t="str"/>
      <x:c r="K20" s="2" t="str"/>
      <x:c r="L20" s="2" t="str"/>
      <x:c r="M20" s="2" t="str"/>
      <x:c r="N20" s="2" t="str"/>
      <x:c r="O20" s="2" t="str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 t="str">
        <x:v>UAT-020</x:v>
      </x:c>
      <x:c r="B21" s="2" t="str"/>
      <x:c r="C21" s="2" t="str">
        <x:v>Tester</x:v>
      </x:c>
      <x:c r="D21" s="2" t="str">
        <x:v>Notification on rearrangement</x:v>
      </x:c>
      <x:c r="E21" s="2" t="str">
        <x:v>Notification</x:v>
      </x:c>
      <x:c r="F21" s="2" t="str">
        <x:v>Rearrange a booking, check email/notification</x:v>
      </x:c>
      <x:c r="G21" s="2" t="str">
        <x:v>Rearrangement notification is sent/requested and recorded safely in audit/logs</x:v>
      </x:c>
      <x:c r="H21" s="2" t="str"/>
      <x:c r="I21" s="2" t="str"/>
      <x:c r="J21" s="2" t="str"/>
      <x:c r="K21" s="2" t="str"/>
      <x:c r="L21" s="2" t="str"/>
      <x:c r="M21" s="2" t="str"/>
      <x:c r="N21" s="2" t="str"/>
      <x:c r="O21" s="2" t="str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 t="str">
        <x:v>UAT-021</x:v>
      </x:c>
      <x:c r="B22" s="2" t="str"/>
      <x:c r="C22" s="2" t="str">
        <x:v>Tester / Admin</x:v>
      </x:c>
      <x:c r="D22" s="2" t="str">
        <x:v>Calendar event for online booking</x:v>
      </x:c>
      <x:c r="E22" s="2" t="str">
        <x:v>Calendar</x:v>
      </x:c>
      <x:c r="F22" s="2" t="str">
        <x:v>Create online booking and inspect adviser calendar</x:v>
      </x:c>
      <x:c r="G22" s="2" t="str">
        <x:v>Calendar event exists, correct date/time, marked busy/confirmed</x:v>
      </x:c>
      <x:c r="H22" s="2" t="str"/>
      <x:c r="I22" s="2" t="str"/>
      <x:c r="J22" s="2" t="str"/>
      <x:c r="K22" s="2" t="str"/>
      <x:c r="L22" s="2" t="str"/>
      <x:c r="M22" s="2" t="str"/>
      <x:c r="N22" s="2" t="str"/>
      <x:c r="O22" s="2" t="str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 t="str">
        <x:v>UAT-022</x:v>
      </x:c>
      <x:c r="B23" s="2" t="str"/>
      <x:c r="C23" s="2" t="str">
        <x:v>Tester / Admin</x:v>
      </x:c>
      <x:c r="D23" s="2" t="str">
        <x:v>Calendar event for face-to-face booking</x:v>
      </x:c>
      <x:c r="E23" s="2" t="str">
        <x:v>Calendar</x:v>
      </x:c>
      <x:c r="F23" s="2" t="str">
        <x:v>Create face-to-face booking and inspect adviser calendar</x:v>
      </x:c>
      <x:c r="G23" s="2" t="str">
        <x:v>Calendar event exists, correct date/time/location where applicable, marked busy/confirmed</x:v>
      </x:c>
      <x:c r="H23" s="2" t="str"/>
      <x:c r="I23" s="2" t="str"/>
      <x:c r="J23" s="2" t="str"/>
      <x:c r="K23" s="2" t="str"/>
      <x:c r="L23" s="2" t="str"/>
      <x:c r="M23" s="2" t="str"/>
      <x:c r="N23" s="2" t="str"/>
      <x:c r="O23" s="2" t="str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 t="str">
        <x:v>UAT-023</x:v>
      </x:c>
      <x:c r="B24" s="2" t="str"/>
      <x:c r="C24" s="2" t="str">
        <x:v>Tester / Admin</x:v>
      </x:c>
      <x:c r="D24" s="2" t="str">
        <x:v>Calendar cancellation</x:v>
      </x:c>
      <x:c r="E24" s="2" t="str">
        <x:v>Calendar</x:v>
      </x:c>
      <x:c r="F24" s="2" t="str">
        <x:v>Cancel a booking and inspect adviser calendar</x:v>
      </x:c>
      <x:c r="G24" s="2" t="str">
        <x:v>Calendar event is cancelled/removed/updated according to expected behaviour</x:v>
      </x:c>
      <x:c r="H24" s="2" t="str"/>
      <x:c r="I24" s="2" t="str"/>
      <x:c r="J24" s="2" t="str"/>
      <x:c r="K24" s="2" t="str"/>
      <x:c r="L24" s="2" t="str"/>
      <x:c r="M24" s="2" t="str"/>
      <x:c r="N24" s="2" t="str"/>
      <x:c r="O24" s="2" t="str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 t="str">
        <x:v>UAT-024</x:v>
      </x:c>
      <x:c r="B25" s="2" t="str"/>
      <x:c r="C25" s="2" t="str">
        <x:v>Tester / Admin</x:v>
      </x:c>
      <x:c r="D25" s="2" t="str">
        <x:v>Audit for booking confirmation</x:v>
      </x:c>
      <x:c r="E25" s="2" t="str">
        <x:v>Lifecycle/Audit</x:v>
      </x:c>
      <x:c r="F25" s="2" t="str">
        <x:v>Create and confirm a booking, inspect audit/lifecycle records</x:v>
      </x:c>
      <x:c r="G25" s="2" t="str">
        <x:v>Booked event recorded with actor/source/correlation and steps</x:v>
      </x:c>
      <x:c r="H25" s="2" t="str"/>
      <x:c r="I25" s="2" t="str"/>
      <x:c r="J25" s="2" t="str"/>
      <x:c r="K25" s="2" t="str"/>
      <x:c r="L25" s="2" t="str"/>
      <x:c r="M25" s="2" t="str"/>
      <x:c r="N25" s="2" t="str"/>
      <x:c r="O25" s="2" t="str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 t="str">
        <x:v>UAT-025</x:v>
      </x:c>
      <x:c r="B26" s="2" t="str"/>
      <x:c r="C26" s="2" t="str">
        <x:v>Tester / Admin</x:v>
      </x:c>
      <x:c r="D26" s="2" t="str">
        <x:v>Audit for cancellation</x:v>
      </x:c>
      <x:c r="E26" s="2" t="str">
        <x:v>Lifecycle/Audit</x:v>
      </x:c>
      <x:c r="F26" s="2" t="str">
        <x:v>Cancel a booking, inspect audit/lifecycle records</x:v>
      </x:c>
      <x:c r="G26" s="2" t="str">
        <x:v>Cancelled event recorded with actor/source/correlation and steps</x:v>
      </x:c>
      <x:c r="H26" s="2" t="str"/>
      <x:c r="I26" s="2" t="str"/>
      <x:c r="J26" s="2" t="str"/>
      <x:c r="K26" s="2" t="str"/>
      <x:c r="L26" s="2" t="str"/>
      <x:c r="M26" s="2" t="str"/>
      <x:c r="N26" s="2" t="str"/>
      <x:c r="O26" s="2" t="str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 t="str">
        <x:v>UAT-026</x:v>
      </x:c>
      <x:c r="B27" s="2" t="str"/>
      <x:c r="C27" s="2" t="str">
        <x:v>Tester / Admin</x:v>
      </x:c>
      <x:c r="D27" s="2" t="str">
        <x:v>Audit for rearrangement</x:v>
      </x:c>
      <x:c r="E27" s="2" t="str">
        <x:v>Lifecycle/Audit</x:v>
      </x:c>
      <x:c r="F27" s="2" t="str">
        <x:v>Rearrange a booking, inspect audit/lifecycle records</x:v>
      </x:c>
      <x:c r="G27" s="2" t="str">
        <x:v>Rearranged event recorded with actor/source/correlation and steps</x:v>
      </x:c>
      <x:c r="H27" s="2" t="str"/>
      <x:c r="I27" s="2" t="str"/>
      <x:c r="J27" s="2" t="str"/>
      <x:c r="K27" s="2" t="str"/>
      <x:c r="L27" s="2" t="str"/>
      <x:c r="M27" s="2" t="str"/>
      <x:c r="N27" s="2" t="str"/>
      <x:c r="O27" s="2" t="str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 t="str">
        <x:v>UAT-027</x:v>
      </x:c>
      <x:c r="B28" s="2" t="str"/>
      <x:c r="C28" s="2" t="str">
        <x:v>Tester / Admin</x:v>
      </x:c>
      <x:c r="D28" s="2" t="str">
        <x:v>Hold release</x:v>
      </x:c>
      <x:c r="E28" s="2" t="str">
        <x:v>Hold lifecycle</x:v>
      </x:c>
      <x:c r="F28" s="2" t="str">
        <x:v>Create a hold and manually release it</x:v>
      </x:c>
      <x:c r="G28" s="2" t="str">
        <x:v>HoldReleased audit event recorded, calendar tentative event cancelled/skipped/failed step recorded</x:v>
      </x:c>
      <x:c r="H28" s="2" t="str"/>
      <x:c r="I28" s="2" t="str"/>
      <x:c r="J28" s="2" t="str"/>
      <x:c r="K28" s="2" t="str"/>
      <x:c r="L28" s="2" t="str"/>
      <x:c r="M28" s="2" t="str"/>
      <x:c r="N28" s="2" t="str"/>
      <x:c r="O28" s="2" t="str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 t="str">
        <x:v>UAT-028</x:v>
      </x:c>
      <x:c r="B29" s="2" t="str"/>
      <x:c r="C29" s="2" t="str">
        <x:v>Tester / Admin</x:v>
      </x:c>
      <x:c r="D29" s="2" t="str">
        <x:v>Hold expiry cleanup</x:v>
      </x:c>
      <x:c r="E29" s="2" t="str">
        <x:v>Hold lifecycle</x:v>
      </x:c>
      <x:c r="F29" s="2" t="str">
        <x:v>Let hold expire or trigger cleanup job</x:v>
      </x:c>
      <x:c r="G29" s="2" t="str">
        <x:v>HoldExpired audit event recorded with System actor, not confused with manual release</x:v>
      </x:c>
      <x:c r="H29" s="2" t="str"/>
      <x:c r="I29" s="2" t="str"/>
      <x:c r="J29" s="2" t="str"/>
      <x:c r="K29" s="2" t="str"/>
      <x:c r="L29" s="2" t="str"/>
      <x:c r="M29" s="2" t="str"/>
      <x:c r="N29" s="2" t="str"/>
      <x:c r="O29" s="2" t="str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 t="str">
        <x:v>UAT-029</x:v>
      </x:c>
      <x:c r="B30" s="2" t="str"/>
      <x:c r="C30" s="2" t="str">
        <x:v>Tester / Admin</x:v>
      </x:c>
      <x:c r="D30" s="2" t="str">
        <x:v>No-show recording</x:v>
      </x:c>
      <x:c r="E30" s="2" t="str">
        <x:v>No-show</x:v>
      </x:c>
      <x:c r="F30" s="2" t="str">
        <x:v>Record no-show for confirmed booking</x:v>
      </x:c>
      <x:c r="G30" s="2" t="str">
        <x:v>No Show lifecycle event recorded, duplicate no-show does not duplicate audit</x:v>
      </x:c>
      <x:c r="H30" s="2" t="str"/>
      <x:c r="I30" s="2" t="str"/>
      <x:c r="J30" s="2" t="str"/>
      <x:c r="K30" s="2" t="str"/>
      <x:c r="L30" s="2" t="str"/>
      <x:c r="M30" s="2" t="str"/>
      <x:c r="N30" s="2" t="str"/>
      <x:c r="O30" s="2" t="str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 t="str">
        <x:v>UAT-030</x:v>
      </x:c>
      <x:c r="B31" s="2" t="str"/>
      <x:c r="C31" s="2" t="str">
        <x:v>Tester / Admin</x:v>
      </x:c>
      <x:c r="D31" s="2" t="str">
        <x:v>Public error safety</x:v>
      </x:c>
      <x:c r="E31" s="2" t="str">
        <x:v>Error handling</x:v>
      </x:c>
      <x:c r="F31" s="2" t="str">
        <x:v>Trigger invalid slot/token/booking scenarios from self-service</x:v>
      </x:c>
      <x:c r="G31" s="2" t="str">
        <x:v>Public response is safe and does not leak internal transaction/slot details unnecessarily</x:v>
      </x:c>
      <x:c r="H31" s="2" t="str"/>
      <x:c r="I31" s="2" t="str"/>
      <x:c r="J31" s="2" t="str"/>
      <x:c r="K31" s="2" t="str"/>
      <x:c r="L31" s="2" t="str"/>
      <x:c r="M31" s="2" t="str"/>
      <x:c r="N31" s="2" t="str"/>
      <x:c r="O31" s="2" t="str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pageMargins left="0.7" right="0.7" top="0.75" bottom="0.75" header="0.3" footer="0.3"/>
  <x:tableParts count="1">
    <x:tablePart xmlns:r="http://schemas.openxmlformats.org/officeDocument/2006/relationships" r:id="Re01be653dca243c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2" hidden="0" customWidth="1"/>
    <x:col min="5" max="5" width="30" hidden="0" customWidth="1"/>
    <x:col min="6" max="6" width="20" hidden="0" customWidth="1"/>
    <x:col min="7" max="7" width="14" hidden="0" customWidth="1"/>
    <x:col min="8" max="8" width="16" hidden="0" customWidth="1"/>
    <x:col min="9" max="9" width="18" hidden="0" customWidth="1"/>
    <x:col min="10" max="10" width="35" hidden="0" customWidth="1"/>
    <x:col min="11" max="11" width="14" hidden="0" customWidth="1"/>
    <x:col min="12" max="12" width="16" hidden="0" customWidth="1"/>
    <x:col min="13" max="13" width="35" hidden="0" customWidth="1"/>
    <x:col min="14" max="14" width="24" hidden="0" customWidth="1"/>
    <x:col min="15" max="15" width="16" hidden="0" customWidth="1"/>
    <x:col min="16" max="16" width="18" hidden="0" customWidth="1"/>
  </x:cols>
  <x:sheetData>
    <x:row r="1">
      <x:c r="A1" s="10" t="str">
        <x:v>Run ID</x:v>
      </x:c>
      <x:c r="B1" s="10" t="str">
        <x:v>Case ID</x:v>
      </x:c>
      <x:c r="C1" s="10" t="str">
        <x:v>Tester Name</x:v>
      </x:c>
      <x:c r="D1" s="10" t="str">
        <x:v>Role</x:v>
      </x:c>
      <x:c r="E1" s="10" t="str">
        <x:v>Scenario</x:v>
      </x:c>
      <x:c r="F1" s="10" t="str">
        <x:v>Action Tested</x:v>
      </x:c>
      <x:c r="G1" s="10" t="str">
        <x:v>Test Date</x:v>
      </x:c>
      <x:c r="H1" s="10" t="str">
        <x:v>Environment</x:v>
      </x:c>
      <x:c r="I1" s="10" t="str">
        <x:v>Booking ID</x:v>
      </x:c>
      <x:c r="J1" s="10" t="str">
        <x:v>Actual Result</x:v>
      </x:c>
      <x:c r="K1" s="10" t="str">
        <x:v>Pass / Fail</x:v>
      </x:c>
      <x:c r="L1" s="10" t="str">
        <x:v>Issue Severity</x:v>
      </x:c>
      <x:c r="M1" s="10" t="str">
        <x:v>Issue / Comment</x:v>
      </x:c>
      <x:c r="N1" s="10" t="str">
        <x:v>Evidence</x:v>
      </x:c>
      <x:c r="O1" s="10" t="str">
        <x:v>Retest Required</x:v>
      </x:c>
      <x:c r="P1" s="10" t="str">
        <x:v>Retest Result</x:v>
      </x:c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s="2" t="str">
        <x:v>RUN-001</x:v>
      </x:c>
      <x:c r="B2" s="2" t="str">
        <x:v>UAT-001</x:v>
      </x:c>
      <x:c r="C2" s="2" t="str"/>
      <x:c r="D2" s="2" t="str">
        <x:v>Booking Agent / Tester</x:v>
      </x:c>
      <x:c r="E2" s="2" t="str">
        <x:v>Create online booking</x:v>
      </x:c>
      <x:c r="F2" s="2" t="str">
        <x:v>Create booking</x:v>
      </x:c>
      <x:c r="G2" s="2" t="str"/>
      <x:c r="H2" s="2" t="str">
        <x:v>UAT</x:v>
      </x:c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 t="str">
        <x:v>RUN-002</x:v>
      </x:c>
      <x:c r="B3" s="2" t="str">
        <x:v>UAT-002</x:v>
      </x:c>
      <x:c r="C3" s="2" t="str"/>
      <x:c r="D3" s="2" t="str">
        <x:v>Booking Agent / Tester</x:v>
      </x:c>
      <x:c r="E3" s="2" t="str">
        <x:v>Create face-to-face booking</x:v>
      </x:c>
      <x:c r="F3" s="2" t="str">
        <x:v>Create booking</x:v>
      </x:c>
      <x:c r="G3" s="2" t="str"/>
      <x:c r="H3" s="2" t="str">
        <x:v>UAT</x:v>
      </x:c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 t="str">
        <x:v>RUN-003</x:v>
      </x:c>
      <x:c r="B4" s="2" t="str">
        <x:v>UAT-003</x:v>
      </x:c>
      <x:c r="C4" s="2" t="str"/>
      <x:c r="D4" s="2" t="str">
        <x:v>Client / Tester</x:v>
      </x:c>
      <x:c r="E4" s="2" t="str">
        <x:v>View online booking</x:v>
      </x:c>
      <x:c r="F4" s="2" t="str">
        <x:v>View booking</x:v>
      </x:c>
      <x:c r="G4" s="2" t="str"/>
      <x:c r="H4" s="2" t="str">
        <x:v>UAT</x:v>
      </x:c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 t="str">
        <x:v>RUN-004</x:v>
      </x:c>
      <x:c r="B5" s="2" t="str">
        <x:v>UAT-004</x:v>
      </x:c>
      <x:c r="C5" s="2" t="str"/>
      <x:c r="D5" s="2" t="str">
        <x:v>Client / Tester</x:v>
      </x:c>
      <x:c r="E5" s="2" t="str">
        <x:v>View face-to-face booking</x:v>
      </x:c>
      <x:c r="F5" s="2" t="str">
        <x:v>View booking</x:v>
      </x:c>
      <x:c r="G5" s="2" t="str"/>
      <x:c r="H5" s="2" t="str">
        <x:v>UAT</x:v>
      </x:c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 t="str">
        <x:v>RUN-005</x:v>
      </x:c>
      <x:c r="B6" s="2" t="str">
        <x:v>UAT-005</x:v>
      </x:c>
      <x:c r="C6" s="2" t="str"/>
      <x:c r="D6" s="2" t="str">
        <x:v>Client / Tester</x:v>
      </x:c>
      <x:c r="E6" s="2" t="str">
        <x:v>Cancel online booking</x:v>
      </x:c>
      <x:c r="F6" s="2" t="str">
        <x:v>Cancel booking</x:v>
      </x:c>
      <x:c r="G6" s="2" t="str"/>
      <x:c r="H6" s="2" t="str">
        <x:v>UAT</x:v>
      </x:c>
      <x:c r="I6" s="2" t="str"/>
      <x:c r="J6" s="2" t="str"/>
      <x:c r="K6" s="2" t="str"/>
      <x:c r="L6" s="2" t="str"/>
      <x:c r="M6" s="2" t="str"/>
      <x:c r="N6" s="2" t="str"/>
      <x:c r="O6" s="2" t="str"/>
      <x:c r="P6" s="2" t="str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 t="str">
        <x:v>RUN-006</x:v>
      </x:c>
      <x:c r="B7" s="2" t="str">
        <x:v>UAT-006</x:v>
      </x:c>
      <x:c r="C7" s="2" t="str"/>
      <x:c r="D7" s="2" t="str">
        <x:v>Client / Tester</x:v>
      </x:c>
      <x:c r="E7" s="2" t="str">
        <x:v>Cancel face-to-face booking</x:v>
      </x:c>
      <x:c r="F7" s="2" t="str">
        <x:v>Cancel booking</x:v>
      </x:c>
      <x:c r="G7" s="2" t="str"/>
      <x:c r="H7" s="2" t="str">
        <x:v>UAT</x:v>
      </x:c>
      <x:c r="I7" s="2" t="str"/>
      <x:c r="J7" s="2" t="str"/>
      <x:c r="K7" s="2" t="str"/>
      <x:c r="L7" s="2" t="str"/>
      <x:c r="M7" s="2" t="str"/>
      <x:c r="N7" s="2" t="str"/>
      <x:c r="O7" s="2" t="str"/>
      <x:c r="P7" s="2" t="str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 t="str">
        <x:v>RUN-007</x:v>
      </x:c>
      <x:c r="B8" s="2" t="str">
        <x:v>UAT-007</x:v>
      </x:c>
      <x:c r="C8" s="2" t="str"/>
      <x:c r="D8" s="2" t="str">
        <x:v>Client / Tester</x:v>
      </x:c>
      <x:c r="E8" s="2" t="str">
        <x:v>Rearrange online booking</x:v>
      </x:c>
      <x:c r="F8" s="2" t="str">
        <x:v>Rearrange booking</x:v>
      </x:c>
      <x:c r="G8" s="2" t="str"/>
      <x:c r="H8" s="2" t="str">
        <x:v>UAT</x:v>
      </x:c>
      <x:c r="I8" s="2" t="str"/>
      <x:c r="J8" s="2" t="str"/>
      <x:c r="K8" s="2" t="str"/>
      <x:c r="L8" s="2" t="str"/>
      <x:c r="M8" s="2" t="str"/>
      <x:c r="N8" s="2" t="str"/>
      <x:c r="O8" s="2" t="str"/>
      <x:c r="P8" s="2" t="str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 t="str">
        <x:v>RUN-008</x:v>
      </x:c>
      <x:c r="B9" s="2" t="str">
        <x:v>UAT-008</x:v>
      </x:c>
      <x:c r="C9" s="2" t="str"/>
      <x:c r="D9" s="2" t="str">
        <x:v>Client / Tester</x:v>
      </x:c>
      <x:c r="E9" s="2" t="str">
        <x:v>Rearrange face-to-face booking</x:v>
      </x:c>
      <x:c r="F9" s="2" t="str">
        <x:v>Rearrange booking</x:v>
      </x:c>
      <x:c r="G9" s="2" t="str"/>
      <x:c r="H9" s="2" t="str">
        <x:v>UAT</x:v>
      </x:c>
      <x:c r="I9" s="2" t="str"/>
      <x:c r="J9" s="2" t="str"/>
      <x:c r="K9" s="2" t="str"/>
      <x:c r="L9" s="2" t="str"/>
      <x:c r="M9" s="2" t="str"/>
      <x:c r="N9" s="2" t="str"/>
      <x:c r="O9" s="2" t="str"/>
      <x:c r="P9" s="2" t="str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 t="str">
        <x:v>RUN-009</x:v>
      </x:c>
      <x:c r="B10" s="2" t="str">
        <x:v>UAT-009</x:v>
      </x:c>
      <x:c r="C10" s="2" t="str"/>
      <x:c r="D10" s="2" t="str">
        <x:v>LeadTech / Tester</x:v>
      </x:c>
      <x:c r="E10" s="2" t="str">
        <x:v>LeadTech cancel online booking</x:v>
      </x:c>
      <x:c r="F10" s="2" t="str">
        <x:v>Cancel booking</x:v>
      </x:c>
      <x:c r="G10" s="2" t="str"/>
      <x:c r="H10" s="2" t="str">
        <x:v>UAT</x:v>
      </x:c>
      <x:c r="I10" s="2" t="str"/>
      <x:c r="J10" s="2" t="str"/>
      <x:c r="K10" s="2" t="str"/>
      <x:c r="L10" s="2" t="str"/>
      <x:c r="M10" s="2" t="str"/>
      <x:c r="N10" s="2" t="str"/>
      <x:c r="O10" s="2" t="str"/>
      <x:c r="P10" s="2" t="str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 t="str">
        <x:v>RUN-010</x:v>
      </x:c>
      <x:c r="B11" s="2" t="str">
        <x:v>UAT-010</x:v>
      </x:c>
      <x:c r="C11" s="2" t="str"/>
      <x:c r="D11" s="2" t="str">
        <x:v>LeadTech / Tester</x:v>
      </x:c>
      <x:c r="E11" s="2" t="str">
        <x:v>LeadTech cancel face-to-face booking</x:v>
      </x:c>
      <x:c r="F11" s="2" t="str">
        <x:v>Cancel booking</x:v>
      </x:c>
      <x:c r="G11" s="2" t="str"/>
      <x:c r="H11" s="2" t="str">
        <x:v>UAT</x:v>
      </x:c>
      <x:c r="I11" s="2" t="str"/>
      <x:c r="J11" s="2" t="str"/>
      <x:c r="K11" s="2" t="str"/>
      <x:c r="L11" s="2" t="str"/>
      <x:c r="M11" s="2" t="str"/>
      <x:c r="N11" s="2" t="str"/>
      <x:c r="O11" s="2" t="str"/>
      <x:c r="P11" s="2" t="str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 t="str">
        <x:v>RUN-011</x:v>
      </x:c>
      <x:c r="B12" s="2" t="str">
        <x:v>UAT-011</x:v>
      </x:c>
      <x:c r="C12" s="2" t="str"/>
      <x:c r="D12" s="2" t="str">
        <x:v>LeadTech / Tester</x:v>
      </x:c>
      <x:c r="E12" s="2" t="str">
        <x:v>LeadTech rearrange online booking</x:v>
      </x:c>
      <x:c r="F12" s="2" t="str">
        <x:v>Rearrange booking</x:v>
      </x:c>
      <x:c r="G12" s="2" t="str"/>
      <x:c r="H12" s="2" t="str">
        <x:v>UAT</x:v>
      </x:c>
      <x:c r="I12" s="2" t="str"/>
      <x:c r="J12" s="2" t="str"/>
      <x:c r="K12" s="2" t="str"/>
      <x:c r="L12" s="2" t="str"/>
      <x:c r="M12" s="2" t="str"/>
      <x:c r="N12" s="2" t="str"/>
      <x:c r="O12" s="2" t="str"/>
      <x:c r="P12" s="2" t="str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 t="str">
        <x:v>RUN-012</x:v>
      </x:c>
      <x:c r="B13" s="2" t="str">
        <x:v>UAT-012</x:v>
      </x:c>
      <x:c r="C13" s="2" t="str"/>
      <x:c r="D13" s="2" t="str">
        <x:v>LeadTech / Tester</x:v>
      </x:c>
      <x:c r="E13" s="2" t="str">
        <x:v>LeadTech rearrange face-to-face booking</x:v>
      </x:c>
      <x:c r="F13" s="2" t="str">
        <x:v>Rearrange booking</x:v>
      </x:c>
      <x:c r="G13" s="2" t="str"/>
      <x:c r="H13" s="2" t="str">
        <x:v>UAT</x:v>
      </x:c>
      <x:c r="I13" s="2" t="str"/>
      <x:c r="J13" s="2" t="str"/>
      <x:c r="K13" s="2" t="str"/>
      <x:c r="L13" s="2" t="str"/>
      <x:c r="M13" s="2" t="str"/>
      <x:c r="N13" s="2" t="str"/>
      <x:c r="O13" s="2" t="str"/>
      <x:c r="P13" s="2" t="str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 t="str">
        <x:v>RUN-013</x:v>
      </x:c>
      <x:c r="B14" s="2" t="str">
        <x:v>UAT-013</x:v>
      </x:c>
      <x:c r="C14" s="2" t="str"/>
      <x:c r="D14" s="2" t="str">
        <x:v>Client / Tester</x:v>
      </x:c>
      <x:c r="E14" s="2" t="str">
        <x:v>Invalid token cannot view booking</x:v>
      </x:c>
      <x:c r="F14" s="2" t="str">
        <x:v>Token/security</x:v>
      </x:c>
      <x:c r="G14" s="2" t="str"/>
      <x:c r="H14" s="2" t="str">
        <x:v>UAT</x:v>
      </x:c>
      <x:c r="I14" s="2" t="str"/>
      <x:c r="J14" s="2" t="str"/>
      <x:c r="K14" s="2" t="str"/>
      <x:c r="L14" s="2" t="str"/>
      <x:c r="M14" s="2" t="str"/>
      <x:c r="N14" s="2" t="str"/>
      <x:c r="O14" s="2" t="str"/>
      <x:c r="P14" s="2" t="str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 t="str">
        <x:v>RUN-014</x:v>
      </x:c>
      <x:c r="B15" s="2" t="str">
        <x:v>UAT-014</x:v>
      </x:c>
      <x:c r="C15" s="2" t="str"/>
      <x:c r="D15" s="2" t="str">
        <x:v>Client / Tester</x:v>
      </x:c>
      <x:c r="E15" s="2" t="str">
        <x:v>Token from one booking cannot cancel another</x:v>
      </x:c>
      <x:c r="F15" s="2" t="str">
        <x:v>Token/security</x:v>
      </x:c>
      <x:c r="G15" s="2" t="str"/>
      <x:c r="H15" s="2" t="str">
        <x:v>UAT</x:v>
      </x:c>
      <x:c r="I15" s="2" t="str"/>
      <x:c r="J15" s="2" t="str"/>
      <x:c r="K15" s="2" t="str"/>
      <x:c r="L15" s="2" t="str"/>
      <x:c r="M15" s="2" t="str"/>
      <x:c r="N15" s="2" t="str"/>
      <x:c r="O15" s="2" t="str"/>
      <x:c r="P15" s="2" t="str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 t="str">
        <x:v>RUN-015</x:v>
      </x:c>
      <x:c r="B16" s="2" t="str">
        <x:v>UAT-015</x:v>
      </x:c>
      <x:c r="C16" s="2" t="str"/>
      <x:c r="D16" s="2" t="str">
        <x:v>Client / Tester</x:v>
      </x:c>
      <x:c r="E16" s="2" t="str">
        <x:v>Token from one booking cannot rearrange another</x:v>
      </x:c>
      <x:c r="F16" s="2" t="str">
        <x:v>Token/security</x:v>
      </x:c>
      <x:c r="G16" s="2" t="str"/>
      <x:c r="H16" s="2" t="str">
        <x:v>UAT</x:v>
      </x:c>
      <x:c r="I16" s="2" t="str"/>
      <x:c r="J16" s="2" t="str"/>
      <x:c r="K16" s="2" t="str"/>
      <x:c r="L16" s="2" t="str"/>
      <x:c r="M16" s="2" t="str"/>
      <x:c r="N16" s="2" t="str"/>
      <x:c r="O16" s="2" t="str"/>
      <x:c r="P16" s="2" t="str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 t="str">
        <x:v>RUN-016</x:v>
      </x:c>
      <x:c r="B17" s="2" t="str">
        <x:v>UAT-016</x:v>
      </x:c>
      <x:c r="C17" s="2" t="str"/>
      <x:c r="D17" s="2" t="str">
        <x:v>Tester</x:v>
      </x:c>
      <x:c r="E17" s="2" t="str">
        <x:v>Duplicate cancel submit</x:v>
      </x:c>
      <x:c r="F17" s="2" t="str">
        <x:v>Idempotency</x:v>
      </x:c>
      <x:c r="G17" s="2" t="str"/>
      <x:c r="H17" s="2" t="str">
        <x:v>UAT</x:v>
      </x:c>
      <x:c r="I17" s="2" t="str"/>
      <x:c r="J17" s="2" t="str"/>
      <x:c r="K17" s="2" t="str"/>
      <x:c r="L17" s="2" t="str"/>
      <x:c r="M17" s="2" t="str"/>
      <x:c r="N17" s="2" t="str"/>
      <x:c r="O17" s="2" t="str"/>
      <x:c r="P17" s="2" t="str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 t="str">
        <x:v>RUN-017</x:v>
      </x:c>
      <x:c r="B18" s="2" t="str">
        <x:v>UAT-017</x:v>
      </x:c>
      <x:c r="C18" s="2" t="str"/>
      <x:c r="D18" s="2" t="str">
        <x:v>Tester</x:v>
      </x:c>
      <x:c r="E18" s="2" t="str">
        <x:v>Duplicate rearrange submit</x:v>
      </x:c>
      <x:c r="F18" s="2" t="str">
        <x:v>Idempotency</x:v>
      </x:c>
      <x:c r="G18" s="2" t="str"/>
      <x:c r="H18" s="2" t="str">
        <x:v>UAT</x:v>
      </x:c>
      <x:c r="I18" s="2" t="str"/>
      <x:c r="J18" s="2" t="str"/>
      <x:c r="K18" s="2" t="str"/>
      <x:c r="L18" s="2" t="str"/>
      <x:c r="M18" s="2" t="str"/>
      <x:c r="N18" s="2" t="str"/>
      <x:c r="O18" s="2" t="str"/>
      <x:c r="P18" s="2" t="str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 t="str">
        <x:v>RUN-018</x:v>
      </x:c>
      <x:c r="B19" s="2" t="str">
        <x:v>UAT-018</x:v>
      </x:c>
      <x:c r="C19" s="2" t="str"/>
      <x:c r="D19" s="2" t="str">
        <x:v>Tester</x:v>
      </x:c>
      <x:c r="E19" s="2" t="str">
        <x:v>Notification on booking confirmation</x:v>
      </x:c>
      <x:c r="F19" s="2" t="str">
        <x:v>Notification</x:v>
      </x:c>
      <x:c r="G19" s="2" t="str"/>
      <x:c r="H19" s="2" t="str">
        <x:v>UAT</x:v>
      </x:c>
      <x:c r="I19" s="2" t="str"/>
      <x:c r="J19" s="2" t="str"/>
      <x:c r="K19" s="2" t="str"/>
      <x:c r="L19" s="2" t="str"/>
      <x:c r="M19" s="2" t="str"/>
      <x:c r="N19" s="2" t="str"/>
      <x:c r="O19" s="2" t="str"/>
      <x:c r="P19" s="2" t="str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 t="str">
        <x:v>RUN-019</x:v>
      </x:c>
      <x:c r="B20" s="2" t="str">
        <x:v>UAT-019</x:v>
      </x:c>
      <x:c r="C20" s="2" t="str"/>
      <x:c r="D20" s="2" t="str">
        <x:v>Tester</x:v>
      </x:c>
      <x:c r="E20" s="2" t="str">
        <x:v>Notification on cancellation</x:v>
      </x:c>
      <x:c r="F20" s="2" t="str">
        <x:v>Notification</x:v>
      </x:c>
      <x:c r="G20" s="2" t="str"/>
      <x:c r="H20" s="2" t="str">
        <x:v>UAT</x:v>
      </x:c>
      <x:c r="I20" s="2" t="str"/>
      <x:c r="J20" s="2" t="str"/>
      <x:c r="K20" s="2" t="str"/>
      <x:c r="L20" s="2" t="str"/>
      <x:c r="M20" s="2" t="str"/>
      <x:c r="N20" s="2" t="str"/>
      <x:c r="O20" s="2" t="str"/>
      <x:c r="P20" s="2" t="str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 t="str">
        <x:v>RUN-020</x:v>
      </x:c>
      <x:c r="B21" s="2" t="str">
        <x:v>UAT-020</x:v>
      </x:c>
      <x:c r="C21" s="2" t="str"/>
      <x:c r="D21" s="2" t="str">
        <x:v>Tester</x:v>
      </x:c>
      <x:c r="E21" s="2" t="str">
        <x:v>Notification on rearrangement</x:v>
      </x:c>
      <x:c r="F21" s="2" t="str">
        <x:v>Notification</x:v>
      </x:c>
      <x:c r="G21" s="2" t="str"/>
      <x:c r="H21" s="2" t="str">
        <x:v>UAT</x:v>
      </x:c>
      <x:c r="I21" s="2" t="str"/>
      <x:c r="J21" s="2" t="str"/>
      <x:c r="K21" s="2" t="str"/>
      <x:c r="L21" s="2" t="str"/>
      <x:c r="M21" s="2" t="str"/>
      <x:c r="N21" s="2" t="str"/>
      <x:c r="O21" s="2" t="str"/>
      <x:c r="P21" s="2" t="str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 t="str">
        <x:v>RUN-021</x:v>
      </x:c>
      <x:c r="B22" s="2" t="str">
        <x:v>UAT-021</x:v>
      </x:c>
      <x:c r="C22" s="2" t="str"/>
      <x:c r="D22" s="2" t="str">
        <x:v>Tester / Admin</x:v>
      </x:c>
      <x:c r="E22" s="2" t="str">
        <x:v>Calendar event for online booking</x:v>
      </x:c>
      <x:c r="F22" s="2" t="str">
        <x:v>Calendar</x:v>
      </x:c>
      <x:c r="G22" s="2" t="str"/>
      <x:c r="H22" s="2" t="str">
        <x:v>UAT</x:v>
      </x:c>
      <x:c r="I22" s="2" t="str"/>
      <x:c r="J22" s="2" t="str"/>
      <x:c r="K22" s="2" t="str"/>
      <x:c r="L22" s="2" t="str"/>
      <x:c r="M22" s="2" t="str"/>
      <x:c r="N22" s="2" t="str"/>
      <x:c r="O22" s="2" t="str"/>
      <x:c r="P22" s="2" t="str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 t="str">
        <x:v>RUN-022</x:v>
      </x:c>
      <x:c r="B23" s="2" t="str">
        <x:v>UAT-022</x:v>
      </x:c>
      <x:c r="C23" s="2" t="str"/>
      <x:c r="D23" s="2" t="str">
        <x:v>Tester / Admin</x:v>
      </x:c>
      <x:c r="E23" s="2" t="str">
        <x:v>Calendar event for face-to-face booking</x:v>
      </x:c>
      <x:c r="F23" s="2" t="str">
        <x:v>Calendar</x:v>
      </x:c>
      <x:c r="G23" s="2" t="str"/>
      <x:c r="H23" s="2" t="str">
        <x:v>UAT</x:v>
      </x:c>
      <x:c r="I23" s="2" t="str"/>
      <x:c r="J23" s="2" t="str"/>
      <x:c r="K23" s="2" t="str"/>
      <x:c r="L23" s="2" t="str"/>
      <x:c r="M23" s="2" t="str"/>
      <x:c r="N23" s="2" t="str"/>
      <x:c r="O23" s="2" t="str"/>
      <x:c r="P23" s="2" t="str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 t="str">
        <x:v>RUN-023</x:v>
      </x:c>
      <x:c r="B24" s="2" t="str">
        <x:v>UAT-023</x:v>
      </x:c>
      <x:c r="C24" s="2" t="str"/>
      <x:c r="D24" s="2" t="str">
        <x:v>Tester / Admin</x:v>
      </x:c>
      <x:c r="E24" s="2" t="str">
        <x:v>Calendar cancellation</x:v>
      </x:c>
      <x:c r="F24" s="2" t="str">
        <x:v>Calendar</x:v>
      </x:c>
      <x:c r="G24" s="2" t="str"/>
      <x:c r="H24" s="2" t="str">
        <x:v>UAT</x:v>
      </x:c>
      <x:c r="I24" s="2" t="str"/>
      <x:c r="J24" s="2" t="str"/>
      <x:c r="K24" s="2" t="str"/>
      <x:c r="L24" s="2" t="str"/>
      <x:c r="M24" s="2" t="str"/>
      <x:c r="N24" s="2" t="str"/>
      <x:c r="O24" s="2" t="str"/>
      <x:c r="P24" s="2" t="str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 t="str">
        <x:v>RUN-024</x:v>
      </x:c>
      <x:c r="B25" s="2" t="str">
        <x:v>UAT-024</x:v>
      </x:c>
      <x:c r="C25" s="2" t="str"/>
      <x:c r="D25" s="2" t="str">
        <x:v>Tester / Admin</x:v>
      </x:c>
      <x:c r="E25" s="2" t="str">
        <x:v>Audit for booking confirmation</x:v>
      </x:c>
      <x:c r="F25" s="2" t="str">
        <x:v>Lifecycle/Audit</x:v>
      </x:c>
      <x:c r="G25" s="2" t="str"/>
      <x:c r="H25" s="2" t="str">
        <x:v>UAT</x:v>
      </x:c>
      <x:c r="I25" s="2" t="str"/>
      <x:c r="J25" s="2" t="str"/>
      <x:c r="K25" s="2" t="str"/>
      <x:c r="L25" s="2" t="str"/>
      <x:c r="M25" s="2" t="str"/>
      <x:c r="N25" s="2" t="str"/>
      <x:c r="O25" s="2" t="str"/>
      <x:c r="P25" s="2" t="str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 t="str">
        <x:v>RUN-025</x:v>
      </x:c>
      <x:c r="B26" s="2" t="str">
        <x:v>UAT-025</x:v>
      </x:c>
      <x:c r="C26" s="2" t="str"/>
      <x:c r="D26" s="2" t="str">
        <x:v>Tester / Admin</x:v>
      </x:c>
      <x:c r="E26" s="2" t="str">
        <x:v>Audit for cancellation</x:v>
      </x:c>
      <x:c r="F26" s="2" t="str">
        <x:v>Lifecycle/Audit</x:v>
      </x:c>
      <x:c r="G26" s="2" t="str"/>
      <x:c r="H26" s="2" t="str">
        <x:v>UAT</x:v>
      </x:c>
      <x:c r="I26" s="2" t="str"/>
      <x:c r="J26" s="2" t="str"/>
      <x:c r="K26" s="2" t="str"/>
      <x:c r="L26" s="2" t="str"/>
      <x:c r="M26" s="2" t="str"/>
      <x:c r="N26" s="2" t="str"/>
      <x:c r="O26" s="2" t="str"/>
      <x:c r="P26" s="2" t="str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 t="str">
        <x:v>RUN-026</x:v>
      </x:c>
      <x:c r="B27" s="2" t="str">
        <x:v>UAT-026</x:v>
      </x:c>
      <x:c r="C27" s="2" t="str"/>
      <x:c r="D27" s="2" t="str">
        <x:v>Tester / Admin</x:v>
      </x:c>
      <x:c r="E27" s="2" t="str">
        <x:v>Audit for rearrangement</x:v>
      </x:c>
      <x:c r="F27" s="2" t="str">
        <x:v>Lifecycle/Audit</x:v>
      </x:c>
      <x:c r="G27" s="2" t="str"/>
      <x:c r="H27" s="2" t="str">
        <x:v>UAT</x:v>
      </x:c>
      <x:c r="I27" s="2" t="str"/>
      <x:c r="J27" s="2" t="str"/>
      <x:c r="K27" s="2" t="str"/>
      <x:c r="L27" s="2" t="str"/>
      <x:c r="M27" s="2" t="str"/>
      <x:c r="N27" s="2" t="str"/>
      <x:c r="O27" s="2" t="str"/>
      <x:c r="P27" s="2" t="str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 t="str">
        <x:v>RUN-027</x:v>
      </x:c>
      <x:c r="B28" s="2" t="str">
        <x:v>UAT-027</x:v>
      </x:c>
      <x:c r="C28" s="2" t="str"/>
      <x:c r="D28" s="2" t="str">
        <x:v>Tester / Admin</x:v>
      </x:c>
      <x:c r="E28" s="2" t="str">
        <x:v>Hold release</x:v>
      </x:c>
      <x:c r="F28" s="2" t="str">
        <x:v>Hold lifecycle</x:v>
      </x:c>
      <x:c r="G28" s="2" t="str"/>
      <x:c r="H28" s="2" t="str">
        <x:v>UAT</x:v>
      </x:c>
      <x:c r="I28" s="2" t="str"/>
      <x:c r="J28" s="2" t="str"/>
      <x:c r="K28" s="2" t="str"/>
      <x:c r="L28" s="2" t="str"/>
      <x:c r="M28" s="2" t="str"/>
      <x:c r="N28" s="2" t="str"/>
      <x:c r="O28" s="2" t="str"/>
      <x:c r="P28" s="2" t="str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 t="str">
        <x:v>RUN-028</x:v>
      </x:c>
      <x:c r="B29" s="2" t="str">
        <x:v>UAT-028</x:v>
      </x:c>
      <x:c r="C29" s="2" t="str"/>
      <x:c r="D29" s="2" t="str">
        <x:v>Tester / Admin</x:v>
      </x:c>
      <x:c r="E29" s="2" t="str">
        <x:v>Hold expiry cleanup</x:v>
      </x:c>
      <x:c r="F29" s="2" t="str">
        <x:v>Hold lifecycle</x:v>
      </x:c>
      <x:c r="G29" s="2" t="str"/>
      <x:c r="H29" s="2" t="str">
        <x:v>UAT</x:v>
      </x:c>
      <x:c r="I29" s="2" t="str"/>
      <x:c r="J29" s="2" t="str"/>
      <x:c r="K29" s="2" t="str"/>
      <x:c r="L29" s="2" t="str"/>
      <x:c r="M29" s="2" t="str"/>
      <x:c r="N29" s="2" t="str"/>
      <x:c r="O29" s="2" t="str"/>
      <x:c r="P29" s="2" t="str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 t="str">
        <x:v>RUN-029</x:v>
      </x:c>
      <x:c r="B30" s="2" t="str">
        <x:v>UAT-029</x:v>
      </x:c>
      <x:c r="C30" s="2" t="str"/>
      <x:c r="D30" s="2" t="str">
        <x:v>Tester / Admin</x:v>
      </x:c>
      <x:c r="E30" s="2" t="str">
        <x:v>No-show recording</x:v>
      </x:c>
      <x:c r="F30" s="2" t="str">
        <x:v>No-show</x:v>
      </x:c>
      <x:c r="G30" s="2" t="str"/>
      <x:c r="H30" s="2" t="str">
        <x:v>UAT</x:v>
      </x:c>
      <x:c r="I30" s="2" t="str"/>
      <x:c r="J30" s="2" t="str"/>
      <x:c r="K30" s="2" t="str"/>
      <x:c r="L30" s="2" t="str"/>
      <x:c r="M30" s="2" t="str"/>
      <x:c r="N30" s="2" t="str"/>
      <x:c r="O30" s="2" t="str"/>
      <x:c r="P30" s="2" t="str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 t="str">
        <x:v>RUN-030</x:v>
      </x:c>
      <x:c r="B31" s="2" t="str">
        <x:v>UAT-030</x:v>
      </x:c>
      <x:c r="C31" s="2" t="str"/>
      <x:c r="D31" s="2" t="str">
        <x:v>Tester / Admin</x:v>
      </x:c>
      <x:c r="E31" s="2" t="str">
        <x:v>Public error safety</x:v>
      </x:c>
      <x:c r="F31" s="2" t="str">
        <x:v>Error handling</x:v>
      </x:c>
      <x:c r="G31" s="2" t="str"/>
      <x:c r="H31" s="2" t="str">
        <x:v>UAT</x:v>
      </x:c>
      <x:c r="I31" s="2" t="str"/>
      <x:c r="J31" s="2" t="str"/>
      <x:c r="K31" s="2" t="str"/>
      <x:c r="L31" s="2" t="str"/>
      <x:c r="M31" s="2" t="str"/>
      <x:c r="N31" s="2" t="str"/>
      <x:c r="O31" s="2" t="str"/>
      <x:c r="P31" s="2" t="str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conditionalFormatting sqref="K2:K500">
    <x:cfRule type="expression" dxfId="0" priority="1">
      <x:formula>K2="Pass"</x:formula>
    </x:cfRule>
    <x:cfRule type="expression" dxfId="1" priority="2">
      <x:formula>K2="Fail"</x:formula>
    </x:cfRule>
    <x:cfRule type="expression" dxfId="2" priority="3">
      <x:formula>K2="Blocked"</x:formula>
    </x:cfRule>
    <x:cfRule type="expression" dxfId="3" priority="4">
      <x:formula>K2="Partial"</x:formula>
    </x:cfRule>
  </x:conditionalFormatting>
  <x:conditionalFormatting sqref="L2:L500">
    <x:cfRule type="expression" dxfId="4" priority="5">
      <x:formula>L2="High"</x:formula>
    </x:cfRule>
    <x:cfRule type="expression" dxfId="5" priority="6">
      <x:formula>L2="Medium"</x:formula>
    </x:cfRule>
  </x:conditionalFormatting>
  <x:dataValidations count="5">
    <x:dataValidation type="list" sqref="K2:K500">
      <x:formula1>Lists!$A$2:$A$5</x:formula1>
    </x:dataValidation>
    <x:dataValidation type="list" sqref="L2:L500">
      <x:formula1>Lists!$B$2:$B$5</x:formula1>
    </x:dataValidation>
    <x:dataValidation type="list" sqref="D2:D500">
      <x:formula1>Lists!$C$2:$C$7</x:formula1>
    </x:dataValidation>
    <x:dataValidation type="list" sqref="H2:H500">
      <x:formula1>Lists!$D$2:$D$7</x:formula1>
    </x:dataValidation>
    <x:dataValidation type="list" sqref="O2:O500">
      <x:formula1>Lists!$E$2:$E$3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99f3786316469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4" max="4" width="20" hidden="0" customWidth="1"/>
    <x:col min="5" max="5" width="16" hidden="0" customWidth="1"/>
  </x:cols>
  <x:sheetData>
    <x:row r="1">
      <x:c r="A1" s="14" t="str">
        <x:v>Booking Portal UAT Dashboard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6" t="str">
        <x:v>Metric</x:v>
      </x:c>
      <x:c r="B3" s="6" t="str">
        <x:v>Count</x:v>
      </x:c>
      <x:c r="C3" s="2"/>
      <x:c r="D3" s="6" t="str">
        <x:v>Severity</x:v>
      </x:c>
      <x:c r="E3" s="6" t="str">
        <x:v>Count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 t="str">
        <x:v>Total Cases</x:v>
      </x:c>
      <x:c r="B4" s="2" t="n">
        <x:f>COUNTA('Execution Tracker'!B2:B31)</x:f>
        <x:v>30</x:v>
      </x:c>
      <x:c r="C4" s="2"/>
      <x:c r="D4" s="2" t="str">
        <x:v>High</x:v>
      </x:c>
      <x:c r="E4" s="2" t="n">
        <x:f>COUNTIF('Execution Tracker'!L2:L31,"High")</x:f>
        <x:v>0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 t="str">
        <x:v>Passed</x:v>
      </x:c>
      <x:c r="B5" s="2" t="n">
        <x:f>COUNTIF('Execution Tracker'!K2:K31,"Pass")</x:f>
        <x:v>0</x:v>
      </x:c>
      <x:c r="C5" s="2"/>
      <x:c r="D5" s="2" t="str">
        <x:v>Medium</x:v>
      </x:c>
      <x:c r="E5" s="2" t="n">
        <x:f>COUNTIF('Execution Tracker'!L2:L31,"Medium")</x:f>
        <x:v>0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 t="str">
        <x:v>Failed</x:v>
      </x:c>
      <x:c r="B6" s="2" t="n">
        <x:f>COUNTIF('Execution Tracker'!K2:K31,"Fail")</x:f>
        <x:v>0</x:v>
      </x:c>
      <x:c r="C6" s="2"/>
      <x:c r="D6" s="2" t="str">
        <x:v>Low</x:v>
      </x:c>
      <x:c r="E6" s="2" t="n">
        <x:f>COUNTIF('Execution Tracker'!L2:L31,"Low")</x:f>
        <x:v>0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 t="str">
        <x:v>Blocked</x:v>
      </x:c>
      <x:c r="B7" s="2" t="n">
        <x:f>COUNTIF('Execution Tracker'!K2:K31,"Blocked")</x:f>
        <x:v>0</x:v>
      </x:c>
      <x:c r="C7" s="2"/>
      <x:c r="D7" s="2" t="str">
        <x:v>Question</x:v>
      </x:c>
      <x:c r="E7" s="2" t="n">
        <x:f>COUNTIF('Execution Tracker'!L2:L31,"Question")</x:f>
        <x:v>0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 t="str">
        <x:v>Partial</x:v>
      </x:c>
      <x:c r="B8" s="2" t="n">
        <x:f>COUNTIF('Execution Tracker'!K2:K31,"Partial")</x:f>
        <x:v>0</x:v>
      </x:c>
      <x:c r="C8" s="2"/>
      <x:c r="D8" s="2" t="str">
        <x:v>Blank</x:v>
      </x:c>
      <x:c r="E8" s="2" t="n">
        <x:f>COUNTBLANK('Execution Tracker'!L2:L31)</x:f>
        <x:v>30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 t="str">
        <x:v>Not Run</x:v>
      </x:c>
      <x:c r="B9" s="2" t="n">
        <x:f>COUNTBLANK('Execution Tracker'!K2:K31)</x:f>
        <x:v>30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 t="str">
        <x:v>Pass Rate</x:v>
      </x:c>
      <x:c r="B10" s="16" t="n">
        <x:f>IF(B4+B5+B6+B7=0,0,B4/(B4+B5+B6+B7))</x:f>
        <x:v>1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0" t="str">
        <x:v>Recommended UAT Acceptance Rule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 t="str">
        <x:v>1</x:v>
      </x:c>
      <x:c r="B13" s="2" t="str">
        <x:v>All High severity defects must be resolved or formally accepted.</x:v>
      </x:c>
      <x:c r="C13" s="2" t="str"/>
      <x:c r="D13" s="2" t="str"/>
      <x:c r="E13" s="2" t="str"/>
      <x:c r="F13" s="2" t="str"/>
      <x:c r="G13" s="2" t="str"/>
      <x:c r="H13" s="2" t="str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 t="str">
        <x:v>2</x:v>
      </x:c>
      <x:c r="B14" s="2" t="str">
        <x:v>Core journeys must pass: create online, create face-to-face, view, cancel, rearrange.</x:v>
      </x:c>
      <x:c r="C14" s="2" t="str"/>
      <x:c r="D14" s="2" t="str"/>
      <x:c r="E14" s="2" t="str"/>
      <x:c r="F14" s="2" t="str"/>
      <x:c r="G14" s="2" t="str"/>
      <x:c r="H14" s="2" t="str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 t="str">
        <x:v>3</x:v>
      </x:c>
      <x:c r="B15" s="2" t="str">
        <x:v>Security cases must pass: invalid token and token mismatch.</x:v>
      </x:c>
      <x:c r="C15" s="2" t="str"/>
      <x:c r="D15" s="2" t="str"/>
      <x:c r="E15" s="2" t="str"/>
      <x:c r="F15" s="2" t="str"/>
      <x:c r="G15" s="2" t="str"/>
      <x:c r="H15" s="2" t="str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 t="str">
        <x:v>4</x:v>
      </x:c>
      <x:c r="B16" s="2" t="str">
        <x:v>No duplicate side effects from duplicate submits.</x:v>
      </x:c>
      <x:c r="C16" s="2" t="str"/>
      <x:c r="D16" s="2" t="str"/>
      <x:c r="E16" s="2" t="str"/>
      <x:c r="F16" s="2" t="str"/>
      <x:c r="G16" s="2" t="str"/>
      <x:c r="H16" s="2" t="str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 t="str">
        <x:v>5</x:v>
      </x:c>
      <x:c r="B17" s="2" t="str">
        <x:v>Known limitations must be documented in the sign-off notes.</x:v>
      </x:c>
      <x:c r="C17" s="2" t="str"/>
      <x:c r="D17" s="2" t="str"/>
      <x:c r="E17" s="2" t="str"/>
      <x:c r="F17" s="2" t="str"/>
      <x:c r="G17" s="2" t="str"/>
      <x:c r="H17" s="2" t="str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1:H1"/>
    <x:mergeCell ref="A12:H12"/>
  </x:mergeCells>
  <x:pageMargins left="0.7" right="0.7" top="0.75" bottom="0.75" header="0.3" footer="0.3"/>
  <x:drawing xmlns:r="http://schemas.openxmlformats.org/officeDocument/2006/relationships" r:id="R221c863fc91743ad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10" t="str">
        <x:v>PassFail</x:v>
      </x:c>
      <x:c r="B1" s="10" t="str">
        <x:v>Severity</x:v>
      </x:c>
      <x:c r="C1" s="10" t="str">
        <x:v>Roles</x:v>
      </x:c>
      <x:c r="D1" s="10" t="str">
        <x:v>Environment</x:v>
      </x:c>
      <x:c r="E1" s="10" t="str">
        <x:v>Retest</x:v>
      </x:c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s="2" t="str">
        <x:v>Pass</x:v>
      </x:c>
      <x:c r="B2" s="2" t="str">
        <x:v>High</x:v>
      </x:c>
      <x:c r="C2" s="2" t="str">
        <x:v>Booking Agent / Tester</x:v>
      </x:c>
      <x:c r="D2" s="2" t="str">
        <x:v>Local</x:v>
      </x:c>
      <x:c r="E2" s="2" t="str">
        <x:v>Yes</x:v>
      </x:c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 t="str">
        <x:v>Fail</x:v>
      </x:c>
      <x:c r="B3" s="2" t="str">
        <x:v>Medium</x:v>
      </x:c>
      <x:c r="C3" s="2" t="str">
        <x:v>Client / Tester</x:v>
      </x:c>
      <x:c r="D3" s="2" t="str">
        <x:v>Dev</x:v>
      </x:c>
      <x:c r="E3" s="2" t="str">
        <x:v>No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 t="str">
        <x:v>Blocked</x:v>
      </x:c>
      <x:c r="B4" s="2" t="str">
        <x:v>Low</x:v>
      </x:c>
      <x:c r="C4" s="2" t="str">
        <x:v>LeadTech / Tester</x:v>
      </x:c>
      <x:c r="D4" s="2" t="str">
        <x:v>Test</x:v>
      </x:c>
      <x:c r="E4" s="2" t="str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 t="str">
        <x:v>Partial</x:v>
      </x:c>
      <x:c r="B5" s="2" t="str">
        <x:v>Question</x:v>
      </x:c>
      <x:c r="C5" s="2" t="str">
        <x:v>Tester</x:v>
      </x:c>
      <x:c r="D5" s="2" t="str">
        <x:v>UAT</x:v>
      </x:c>
      <x:c r="E5" s="2" t="str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 t="str"/>
      <x:c r="B6" s="2" t="str"/>
      <x:c r="C6" s="2" t="str">
        <x:v>Tester / Admin</x:v>
      </x:c>
      <x:c r="D6" s="2" t="str">
        <x:v>Staging</x:v>
      </x:c>
      <x:c r="E6" s="2" t="str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 t="str"/>
      <x:c r="B7" s="2" t="str"/>
      <x:c r="C7" s="2" t="str">
        <x:v>Admin / Booking Agent</x:v>
      </x:c>
      <x:c r="D7" s="2" t="str">
        <x:v>Production</x:v>
      </x:c>
      <x:c r="E7" s="2" t="str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>
      <x:c r="A1" s="14" t="str">
        <x:v>Booking Portal UAT Pack - How to Use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6" t="str">
        <x:v>Step</x:v>
      </x:c>
      <x:c r="B3" s="6" t="str">
        <x:v>Instruction</x:v>
      </x:c>
      <x:c r="C3" s="2" t="str"/>
      <x:c r="D3" s="2" t="str"/>
      <x:c r="E3" s="2" t="str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 t="str">
        <x:v>1</x:v>
      </x:c>
      <x:c r="B4" s="2" t="str">
        <x:v>Use the 'UAT Test Cases' sheet as the master list of scenarios.</x:v>
      </x:c>
      <x:c r="C4" s="2" t="str"/>
      <x:c r="D4" s="2" t="str"/>
      <x:c r="E4" s="2" t="str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 t="str">
        <x:v>2</x:v>
      </x:c>
      <x:c r="B5" s="2" t="str">
        <x:v>Use 'Execution Tracker' during testing. Each tester fills Tester Name, Test Date, Actual Result, Pass/Fail, comments and evidence.</x:v>
      </x:c>
      <x:c r="C5" s="2" t="str"/>
      <x:c r="D5" s="2" t="str"/>
      <x:c r="E5" s="2" t="str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 t="str">
        <x:v>3</x:v>
      </x:c>
      <x:c r="B6" s="2" t="str">
        <x:v>Use Pass, Fail, Blocked or Partial only in the Pass / Fail column.</x:v>
      </x:c>
      <x:c r="C6" s="2" t="str"/>
      <x:c r="D6" s="2" t="str"/>
      <x:c r="E6" s="2" t="str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 t="str">
        <x:v>4</x:v>
      </x:c>
      <x:c r="B7" s="2" t="str">
        <x:v>Use High, Medium, Low or Question only in Issue Severity.</x:v>
      </x:c>
      <x:c r="C7" s="2" t="str"/>
      <x:c r="D7" s="2" t="str"/>
      <x:c r="E7" s="2" t="str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 t="str">
        <x:v>5</x:v>
      </x:c>
      <x:c r="B8" s="2" t="str">
        <x:v>Attach screenshots, booking IDs, URLs, emails, or log references in Evidence.</x:v>
      </x:c>
      <x:c r="C8" s="2" t="str"/>
      <x:c r="D8" s="2" t="str"/>
      <x:c r="E8" s="2" t="str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 t="str">
        <x:v>6</x:v>
      </x:c>
      <x:c r="B9" s="2" t="str">
        <x:v>Review the Dashboard to see progress and open issues.</x:v>
      </x:c>
      <x:c r="C9" s="2" t="str"/>
      <x:c r="D9" s="2" t="str"/>
      <x:c r="E9" s="2" t="str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 t="str">
        <x:v>7</x:v>
      </x:c>
      <x:c r="B10" s="2" t="str">
        <x:v>Suggested acceptance: all core journeys pass, all High severity issues resolved or accepted, security cases pass.</x:v>
      </x:c>
      <x:c r="C10" s="2" t="str"/>
      <x:c r="D10" s="2" t="str"/>
      <x:c r="E10" s="2" t="str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 t="str"/>
      <x:c r="B11" s="2" t="str"/>
      <x:c r="C11" s="2" t="str"/>
      <x:c r="D11" s="2" t="str"/>
      <x:c r="E11" s="2" t="str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 t="str">
        <x:v>Core journeys</x:v>
      </x:c>
      <x:c r="B12" s="2" t="str">
        <x:v>Create online, create face-to-face, view booking, cancel booking, rearrange booking.</x:v>
      </x:c>
      <x:c r="C12" s="2" t="str"/>
      <x:c r="D12" s="2" t="str"/>
      <x:c r="E12" s="2" t="str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 t="str">
        <x:v>Security journeys</x:v>
      </x:c>
      <x:c r="B13" s="2" t="str">
        <x:v>Invalid token, token booking mismatch, duplicate submit.</x:v>
      </x:c>
      <x:c r="C13" s="2" t="str"/>
      <x:c r="D13" s="2" t="str"/>
      <x:c r="E13" s="2" t="str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 t="str">
        <x:v>Audit checks</x:v>
      </x:c>
      <x:c r="B14" s="2" t="str">
        <x:v>Lifecycle events and notification handoff should be recorded safely.</x:v>
      </x:c>
      <x:c r="C14" s="2" t="str"/>
      <x:c r="D14" s="2" t="str"/>
      <x:c r="E14" s="2" t="str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 t="str"/>
      <x:c r="B15" s="2" t="str"/>
      <x:c r="C15" s="2" t="str"/>
      <x:c r="D15" s="2" t="str"/>
      <x:c r="E15" s="2" t="str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1:E1"/>
  </x:mergeCells>
  <x:pageMargins left="0.7" right="0.7" top="0.75" bottom="0.75" header="0.3" footer="0.3"/>
</x:worksheet>
</file>